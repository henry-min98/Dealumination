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urdue0-my.sharepoint.com/personal/tclassma_purdue_edu/Documents/PhD/0Research/Notre Dame Meetings/HTA/260319 Data and literature for Henry/"/>
    </mc:Choice>
  </mc:AlternateContent>
  <xr:revisionPtr revIDLastSave="367" documentId="8_{7CEBDCFC-6E75-8F4D-B3B0-DEDF2352F3C4}" xr6:coauthVersionLast="47" xr6:coauthVersionMax="47" xr10:uidLastSave="{33688757-8396-2A42-BCFB-3B201F8BD113}"/>
  <bookViews>
    <workbookView xWindow="-38400" yWindow="-440" windowWidth="38400" windowHeight="19460" xr2:uid="{18525C27-6089-9A41-B8A9-84A95650A872}"/>
  </bookViews>
  <sheets>
    <sheet name="SK1-052 9.6 kPa-650C" sheetId="2" r:id="rId1"/>
    <sheet name="TCM2-027 9.6 kPa-650C" sheetId="6" r:id="rId2"/>
    <sheet name="TCM2-071 9.6 kPa-650C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H7" i="2"/>
  <c r="H6" i="2"/>
  <c r="H5" i="2"/>
  <c r="H4" i="2"/>
  <c r="H3" i="2"/>
  <c r="H2" i="2"/>
  <c r="H11" i="6"/>
  <c r="H10" i="6"/>
  <c r="H9" i="6"/>
  <c r="H8" i="6"/>
  <c r="H7" i="6"/>
  <c r="H6" i="6"/>
  <c r="H5" i="6"/>
  <c r="H4" i="6"/>
  <c r="H3" i="6"/>
  <c r="H2" i="6"/>
  <c r="F9" i="6"/>
  <c r="F10" i="6"/>
  <c r="F11" i="6"/>
  <c r="F8" i="6"/>
  <c r="F7" i="6"/>
  <c r="F6" i="6"/>
  <c r="F5" i="6"/>
  <c r="F4" i="6"/>
  <c r="F3" i="6"/>
  <c r="F2" i="6"/>
  <c r="F8" i="2"/>
  <c r="F7" i="2"/>
  <c r="F6" i="2"/>
  <c r="F5" i="2"/>
  <c r="F4" i="2"/>
  <c r="F3" i="2"/>
  <c r="F2" i="2"/>
  <c r="F11" i="8"/>
  <c r="F10" i="8"/>
  <c r="F9" i="8"/>
  <c r="F8" i="8"/>
  <c r="F7" i="8"/>
  <c r="F6" i="8"/>
  <c r="F5" i="8"/>
  <c r="F4" i="8"/>
  <c r="F3" i="8"/>
  <c r="F2" i="8"/>
  <c r="H3" i="8"/>
  <c r="H4" i="8"/>
  <c r="H5" i="8"/>
  <c r="H6" i="8"/>
  <c r="H7" i="8"/>
  <c r="H8" i="8"/>
  <c r="H9" i="8"/>
  <c r="H10" i="8"/>
  <c r="H11" i="8"/>
  <c r="H2" i="8"/>
</calcChain>
</file>

<file path=xl/sharedStrings.xml><?xml version="1.0" encoding="utf-8"?>
<sst xmlns="http://schemas.openxmlformats.org/spreadsheetml/2006/main" count="33" uniqueCount="11">
  <si>
    <t>Time / h</t>
  </si>
  <si>
    <t>H2O pressure / kPa</t>
  </si>
  <si>
    <t>NH3 des. per g</t>
  </si>
  <si>
    <t>Temperature / K</t>
  </si>
  <si>
    <t>Total Al / uc</t>
  </si>
  <si>
    <t>Si/Al</t>
  </si>
  <si>
    <t>Si/g</t>
  </si>
  <si>
    <t>Rate / mol ucˆ-1 hˆ-1</t>
  </si>
  <si>
    <t>Al/uc</t>
  </si>
  <si>
    <t>Error Al/uc</t>
  </si>
  <si>
    <t>Error NH3/g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</si>
</sst>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2"/>
      <color theme="1"/>
      <name val="ArialMT"/>
      <family val="2"/>
    </font>
    <font>
      <sz val="12"/>
      <color theme="1"/>
      <name val="Arial"/>
      <family val="2"/>
    </font>
    <font>
      <sz val="12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6A578E0B-CEA7-B04D-949A-C0DA537E1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B538-F7CA-AA48-B7EA-FBB1A09E8EDE}">
  <sheetPr codeName="Sheet1"/>
  <dimension ref="A1:K8"/>
  <sheetViews>
    <sheetView tabSelected="1" workbookViewId="0">
      <selection activeCell="O26" sqref="O25:O26"/>
    </sheetView>
  </sheetViews>
  <sheetFormatPr baseColWidth="10" defaultColWidth="11.5703125" defaultRowHeight="16"/>
  <cols>
    <col min="5" max="5" width="12.7109375" bestFit="1" customWidth="1"/>
    <col min="6" max="8" width="12.7109375" customWidth="1"/>
    <col min="9" max="9" width="24.5703125" bestFit="1" customWidth="1"/>
    <col min="10" max="10" width="13.42578125" bestFit="1" customWidth="1"/>
  </cols>
  <sheetData>
    <row r="1" spans="1:11">
      <c r="A1" t="s">
        <v>0</v>
      </c>
      <c r="B1" t="s">
        <v>4</v>
      </c>
      <c r="C1" t="s">
        <v>5</v>
      </c>
      <c r="D1" t="s">
        <v>6</v>
      </c>
      <c r="E1" t="s">
        <v>2</v>
      </c>
      <c r="F1" s="2" t="s">
        <v>10</v>
      </c>
      <c r="G1" s="5" t="s">
        <v>8</v>
      </c>
      <c r="H1" s="2" t="s">
        <v>9</v>
      </c>
      <c r="I1" t="s">
        <v>1</v>
      </c>
      <c r="J1" t="s">
        <v>3</v>
      </c>
      <c r="K1" s="2" t="s">
        <v>7</v>
      </c>
    </row>
    <row r="2" spans="1:11">
      <c r="A2" s="1">
        <v>0</v>
      </c>
      <c r="B2">
        <v>0.75390610078382958</v>
      </c>
      <c r="C2" s="1">
        <v>38.291198227538317</v>
      </c>
      <c r="D2">
        <v>1.8421374252664619E-2</v>
      </c>
      <c r="E2" s="1">
        <v>2.6717530782786577E-4</v>
      </c>
      <c r="F2">
        <f>E2*0.12</f>
        <v>3.2061036939343894E-5</v>
      </c>
      <c r="G2" s="4">
        <v>0.57789749096412402</v>
      </c>
      <c r="H2">
        <f>G2*0.12</f>
        <v>6.934769891569488E-2</v>
      </c>
      <c r="I2" s="2">
        <v>9.6</v>
      </c>
      <c r="J2">
        <v>923</v>
      </c>
      <c r="K2" s="4">
        <v>8.0684555317787635E-2</v>
      </c>
    </row>
    <row r="3" spans="1:11">
      <c r="A3" s="1">
        <v>2</v>
      </c>
      <c r="B3">
        <v>0.75390610078382958</v>
      </c>
      <c r="C3" s="1">
        <v>38.291198227538317</v>
      </c>
      <c r="D3">
        <v>1.8421374252664619E-2</v>
      </c>
      <c r="E3" s="1">
        <v>2.0621197948041256E-4</v>
      </c>
      <c r="F3">
        <f>E3*0.12</f>
        <v>2.4745437537649504E-5</v>
      </c>
      <c r="G3" s="4">
        <v>0.44603442779694907</v>
      </c>
      <c r="H3">
        <f t="shared" ref="H3:H11" si="0">G3*0.12</f>
        <v>5.3524131335633884E-2</v>
      </c>
      <c r="I3" s="2">
        <v>9.6</v>
      </c>
      <c r="J3">
        <v>923</v>
      </c>
      <c r="K3" s="4">
        <v>4.8539397287271281E-2</v>
      </c>
    </row>
    <row r="4" spans="1:11">
      <c r="A4" s="1">
        <v>4</v>
      </c>
      <c r="B4">
        <v>0.75390610078382958</v>
      </c>
      <c r="C4" s="1">
        <v>38.291198227538317</v>
      </c>
      <c r="D4">
        <v>1.8421374252664619E-2</v>
      </c>
      <c r="E4" s="1">
        <v>1.6253776761413001E-4</v>
      </c>
      <c r="F4">
        <f>E4*0.12</f>
        <v>1.95045321136956E-5</v>
      </c>
      <c r="G4" s="4">
        <v>0.35156754886807279</v>
      </c>
      <c r="H4">
        <f t="shared" si="0"/>
        <v>4.2188105864168733E-2</v>
      </c>
      <c r="I4" s="2">
        <v>9.6</v>
      </c>
      <c r="J4">
        <v>923</v>
      </c>
      <c r="K4" s="4">
        <v>3.2379169730168043E-2</v>
      </c>
    </row>
    <row r="5" spans="1:11">
      <c r="A5" s="1">
        <v>8</v>
      </c>
      <c r="B5">
        <v>0.75390610078382958</v>
      </c>
      <c r="C5" s="1">
        <v>38.291198227538317</v>
      </c>
      <c r="D5">
        <v>1.8421374252664619E-2</v>
      </c>
      <c r="E5" s="1">
        <v>1.4075458512661251E-4</v>
      </c>
      <c r="F5">
        <f>E5*0.12</f>
        <v>1.6890550215193501E-5</v>
      </c>
      <c r="G5" s="4">
        <v>0.30445074527161009</v>
      </c>
      <c r="H5">
        <f t="shared" si="0"/>
        <v>3.653408943259321E-2</v>
      </c>
      <c r="I5" s="2">
        <v>9.6</v>
      </c>
      <c r="J5">
        <v>923</v>
      </c>
      <c r="K5" s="4">
        <v>1.7339561866841519E-2</v>
      </c>
    </row>
    <row r="6" spans="1:11">
      <c r="A6" s="1">
        <v>16</v>
      </c>
      <c r="B6">
        <v>0.75390610078382958</v>
      </c>
      <c r="C6" s="1">
        <v>38.291198227538317</v>
      </c>
      <c r="D6">
        <v>1.8421374252664619E-2</v>
      </c>
      <c r="E6" s="1">
        <v>8.7951771487855559E-5</v>
      </c>
      <c r="F6">
        <f>E6*0.12</f>
        <v>1.0554212578542667E-5</v>
      </c>
      <c r="G6" s="4">
        <v>0.19023879295547899</v>
      </c>
      <c r="H6">
        <f t="shared" si="0"/>
        <v>2.2828655154657478E-2</v>
      </c>
      <c r="I6" s="2">
        <v>9.6</v>
      </c>
      <c r="J6">
        <v>923</v>
      </c>
      <c r="K6" s="4">
        <v>7.3454382345443259E-3</v>
      </c>
    </row>
    <row r="7" spans="1:11">
      <c r="A7" s="1">
        <v>32</v>
      </c>
      <c r="B7">
        <v>0.75390610078382958</v>
      </c>
      <c r="C7" s="1">
        <v>38.291198227538317</v>
      </c>
      <c r="D7">
        <v>1.8421374252664619E-2</v>
      </c>
      <c r="E7" s="1">
        <v>5.5029052256104477E-5</v>
      </c>
      <c r="F7">
        <f>E7*0.12</f>
        <v>6.6034862707325369E-6</v>
      </c>
      <c r="G7" s="4">
        <v>0.1190272839488038</v>
      </c>
      <c r="H7">
        <f t="shared" si="0"/>
        <v>1.4283274073856454E-2</v>
      </c>
      <c r="I7" s="2">
        <v>9.6</v>
      </c>
      <c r="J7">
        <v>923</v>
      </c>
      <c r="K7" s="4">
        <v>2.5468450013730161E-3</v>
      </c>
    </row>
    <row r="8" spans="1:11">
      <c r="A8" s="1">
        <v>64</v>
      </c>
      <c r="B8">
        <v>0.75390610078382958</v>
      </c>
      <c r="C8" s="1">
        <v>38.291198227538317</v>
      </c>
      <c r="D8">
        <v>1.8421374252664619E-2</v>
      </c>
      <c r="E8" s="1">
        <v>3.1616119891903822E-5</v>
      </c>
      <c r="F8">
        <f>E8*0.12</f>
        <v>3.7939343870284583E-6</v>
      </c>
      <c r="G8" s="4">
        <v>6.8385347838070473E-2</v>
      </c>
      <c r="H8">
        <f t="shared" si="0"/>
        <v>8.2062417405684568E-3</v>
      </c>
      <c r="I8" s="2">
        <v>9.6</v>
      </c>
      <c r="J8">
        <v>923</v>
      </c>
      <c r="K8" s="4">
        <v>7.6691440607067052E-4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9AC0-FC2B-0543-B0E9-1D3EF853807A}">
  <dimension ref="A1:K11"/>
  <sheetViews>
    <sheetView workbookViewId="0">
      <selection activeCell="H1" sqref="H1:H1048576"/>
    </sheetView>
  </sheetViews>
  <sheetFormatPr baseColWidth="10" defaultColWidth="11.5703125" defaultRowHeight="16"/>
  <cols>
    <col min="5" max="5" width="12.7109375" bestFit="1" customWidth="1"/>
    <col min="6" max="8" width="12.7109375" customWidth="1"/>
    <col min="9" max="9" width="16.28515625" customWidth="1"/>
    <col min="10" max="10" width="13.42578125" bestFit="1" customWidth="1"/>
  </cols>
  <sheetData>
    <row r="1" spans="1:11">
      <c r="A1" t="s">
        <v>0</v>
      </c>
      <c r="B1" t="s">
        <v>4</v>
      </c>
      <c r="C1" t="s">
        <v>5</v>
      </c>
      <c r="D1" t="s">
        <v>6</v>
      </c>
      <c r="E1" t="s">
        <v>2</v>
      </c>
      <c r="F1" s="2" t="s">
        <v>10</v>
      </c>
      <c r="G1" s="5" t="s">
        <v>8</v>
      </c>
      <c r="H1" s="2" t="s">
        <v>9</v>
      </c>
      <c r="I1" t="s">
        <v>1</v>
      </c>
      <c r="J1" t="s">
        <v>3</v>
      </c>
      <c r="K1" s="2" t="s">
        <v>7</v>
      </c>
    </row>
    <row r="2" spans="1:11">
      <c r="A2" s="1">
        <v>0</v>
      </c>
      <c r="B2">
        <v>1.4662980027207297</v>
      </c>
      <c r="C2" s="1">
        <v>22.260164895137372</v>
      </c>
      <c r="D2" s="1">
        <v>1.5419981222790516E-2</v>
      </c>
      <c r="E2" s="1">
        <v>4.9170996111251727E-4</v>
      </c>
      <c r="F2">
        <f>E2*0.12</f>
        <v>5.9005195333502067E-5</v>
      </c>
      <c r="G2" s="4">
        <v>1.063533819134024</v>
      </c>
      <c r="H2">
        <f>G2*0.12</f>
        <v>0.12762405829608287</v>
      </c>
      <c r="I2" s="2">
        <v>9.6</v>
      </c>
      <c r="J2">
        <v>923</v>
      </c>
      <c r="K2" s="4">
        <v>0.41787940491973202</v>
      </c>
    </row>
    <row r="3" spans="1:11">
      <c r="A3" s="1">
        <v>1</v>
      </c>
      <c r="B3">
        <v>1.4662980027207297</v>
      </c>
      <c r="C3" s="1">
        <v>22.260164895137372</v>
      </c>
      <c r="D3" s="1">
        <v>1.5419981222790516E-2</v>
      </c>
      <c r="E3" s="1">
        <v>3.5336337368541544E-4</v>
      </c>
      <c r="F3">
        <f>E3*0.12</f>
        <v>4.2403604842249853E-5</v>
      </c>
      <c r="G3" s="4">
        <v>0.76429994931857026</v>
      </c>
      <c r="H3">
        <f t="shared" ref="H3:H11" si="0">G3*0.12</f>
        <v>9.1715993918228433E-2</v>
      </c>
      <c r="I3" s="2">
        <v>9.6</v>
      </c>
      <c r="J3">
        <v>923</v>
      </c>
      <c r="K3" s="4">
        <v>0.20170607885880429</v>
      </c>
    </row>
    <row r="4" spans="1:11">
      <c r="A4" s="1">
        <v>1.5</v>
      </c>
      <c r="B4">
        <v>1.4662980027207297</v>
      </c>
      <c r="C4" s="1">
        <v>22.260164895137372</v>
      </c>
      <c r="D4" s="1">
        <v>1.5419981222790516E-2</v>
      </c>
      <c r="E4" s="1">
        <v>3.055827784813634E-4</v>
      </c>
      <c r="F4">
        <f>E4*0.12</f>
        <v>3.6669933417763605E-5</v>
      </c>
      <c r="G4" s="4">
        <v>0.6609539060883538</v>
      </c>
      <c r="H4">
        <f t="shared" si="0"/>
        <v>7.9314468730602453E-2</v>
      </c>
      <c r="I4" s="2">
        <v>9.6</v>
      </c>
      <c r="J4">
        <v>923</v>
      </c>
      <c r="K4" s="4">
        <v>0.15305055217311639</v>
      </c>
    </row>
    <row r="5" spans="1:11">
      <c r="A5" s="1">
        <v>2</v>
      </c>
      <c r="B5">
        <v>1.4662980027207297</v>
      </c>
      <c r="C5" s="1">
        <v>22.260164895137372</v>
      </c>
      <c r="D5" s="1">
        <v>1.5419981222790516E-2</v>
      </c>
      <c r="E5" s="1">
        <v>2.9059695249739417E-4</v>
      </c>
      <c r="F5">
        <f>E5*0.12</f>
        <v>3.4871634299687297E-5</v>
      </c>
      <c r="G5" s="4">
        <v>0.62854062589864934</v>
      </c>
      <c r="H5">
        <f t="shared" si="0"/>
        <v>7.5424875107837921E-2</v>
      </c>
      <c r="I5" s="2">
        <v>9.6</v>
      </c>
      <c r="J5">
        <v>923</v>
      </c>
      <c r="K5" s="4">
        <v>0.12053673359707311</v>
      </c>
    </row>
    <row r="6" spans="1:11">
      <c r="A6" s="1">
        <v>4</v>
      </c>
      <c r="B6">
        <v>1.4662980027207297</v>
      </c>
      <c r="C6" s="1">
        <v>22.260164895137372</v>
      </c>
      <c r="D6" s="1">
        <v>1.5419981222790516E-2</v>
      </c>
      <c r="E6" s="1">
        <v>2.1947394505332971E-4</v>
      </c>
      <c r="F6">
        <f>E6*0.12</f>
        <v>2.6336873406399562E-5</v>
      </c>
      <c r="G6" s="4">
        <v>0.47470659828582562</v>
      </c>
      <c r="H6">
        <f t="shared" si="0"/>
        <v>5.6964791794299072E-2</v>
      </c>
      <c r="I6" s="2">
        <v>9.6</v>
      </c>
      <c r="J6">
        <v>923</v>
      </c>
      <c r="K6" s="4">
        <v>5.8450767798652978E-2</v>
      </c>
    </row>
    <row r="7" spans="1:11">
      <c r="A7" s="1">
        <v>6</v>
      </c>
      <c r="B7">
        <v>1.4662980027207297</v>
      </c>
      <c r="C7" s="1">
        <v>22.260164895137372</v>
      </c>
      <c r="D7" s="1">
        <v>1.5419981222790516E-2</v>
      </c>
      <c r="E7" s="1">
        <v>1.7369390413378552E-4</v>
      </c>
      <c r="F7">
        <f>E7*0.12</f>
        <v>2.0843268496054261E-5</v>
      </c>
      <c r="G7" s="4">
        <v>0.37568761227806929</v>
      </c>
      <c r="H7">
        <f t="shared" si="0"/>
        <v>4.5082513473368314E-2</v>
      </c>
      <c r="I7" s="2">
        <v>9.6</v>
      </c>
      <c r="J7">
        <v>923</v>
      </c>
      <c r="K7" s="4">
        <v>3.5009528236816967E-2</v>
      </c>
    </row>
    <row r="8" spans="1:11">
      <c r="A8" s="1">
        <v>8</v>
      </c>
      <c r="B8">
        <v>1.4662980027207297</v>
      </c>
      <c r="C8" s="1">
        <v>22.260164895137372</v>
      </c>
      <c r="D8" s="1">
        <v>1.5419981222790516E-2</v>
      </c>
      <c r="E8">
        <v>1.4116689336123725E-4</v>
      </c>
      <c r="F8">
        <f>E8*0.12</f>
        <v>1.6940027203348468E-5</v>
      </c>
      <c r="G8" s="4">
        <v>0.30533399179482312</v>
      </c>
      <c r="H8">
        <f t="shared" si="0"/>
        <v>3.6640079015378774E-2</v>
      </c>
      <c r="I8" s="2">
        <v>9.6</v>
      </c>
      <c r="J8">
        <v>923</v>
      </c>
      <c r="K8" s="4">
        <v>2.3533967259853999E-2</v>
      </c>
    </row>
    <row r="9" spans="1:11">
      <c r="A9" s="1">
        <v>12</v>
      </c>
      <c r="B9">
        <v>1.4662980027207297</v>
      </c>
      <c r="C9" s="1">
        <v>22.260164895137372</v>
      </c>
      <c r="D9" s="1">
        <v>1.5419981222790516E-2</v>
      </c>
      <c r="E9">
        <v>1.029403728112347E-4</v>
      </c>
      <c r="F9">
        <f t="shared" ref="F9:F11" si="1">E9*0.12</f>
        <v>1.2352844737348162E-5</v>
      </c>
      <c r="G9" s="4">
        <v>0.22265273534688551</v>
      </c>
      <c r="H9">
        <f t="shared" si="0"/>
        <v>2.671832824162626E-2</v>
      </c>
      <c r="I9" s="2">
        <v>9.6</v>
      </c>
      <c r="J9">
        <v>923</v>
      </c>
      <c r="K9" s="4">
        <v>1.293650050169288E-2</v>
      </c>
    </row>
    <row r="10" spans="1:11">
      <c r="A10" s="1">
        <v>16</v>
      </c>
      <c r="B10">
        <v>1.4662980027207297</v>
      </c>
      <c r="C10" s="1">
        <v>22.260164895137372</v>
      </c>
      <c r="D10" s="1">
        <v>1.5419981222790516E-2</v>
      </c>
      <c r="E10">
        <v>8.3483177398605205E-5</v>
      </c>
      <c r="F10">
        <f t="shared" si="1"/>
        <v>1.0017981287832625E-5</v>
      </c>
      <c r="G10" s="4">
        <v>0.18056819978040831</v>
      </c>
      <c r="H10">
        <f t="shared" si="0"/>
        <v>2.1668183973648995E-2</v>
      </c>
      <c r="I10" s="2">
        <v>9.6</v>
      </c>
      <c r="J10">
        <v>923</v>
      </c>
      <c r="K10" s="4">
        <v>8.276383561829307E-3</v>
      </c>
    </row>
    <row r="11" spans="1:11">
      <c r="A11" s="1">
        <v>22</v>
      </c>
      <c r="B11">
        <v>1.4662980027207297</v>
      </c>
      <c r="C11" s="1">
        <v>22.260164895137372</v>
      </c>
      <c r="D11" s="1">
        <v>1.5419981222790516E-2</v>
      </c>
      <c r="E11">
        <v>6.8481540659427924E-5</v>
      </c>
      <c r="F11">
        <f t="shared" si="1"/>
        <v>8.2177848791313513E-6</v>
      </c>
      <c r="G11" s="4">
        <v>0.14812072204703039</v>
      </c>
      <c r="H11">
        <f t="shared" si="0"/>
        <v>1.7774486645643645E-2</v>
      </c>
      <c r="I11" s="2">
        <v>9.6</v>
      </c>
      <c r="J11">
        <v>923</v>
      </c>
      <c r="K11" s="4">
        <v>4.9647277763639414E-3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5710-0A46-4D40-9959-518BD20B96B1}">
  <dimension ref="A1:K20"/>
  <sheetViews>
    <sheetView workbookViewId="0">
      <selection activeCell="H1" sqref="H1:H1048576"/>
    </sheetView>
  </sheetViews>
  <sheetFormatPr baseColWidth="10" defaultColWidth="11.5703125" defaultRowHeight="16"/>
  <cols>
    <col min="5" max="5" width="12.7109375" bestFit="1" customWidth="1"/>
    <col min="6" max="8" width="12.7109375" customWidth="1"/>
    <col min="9" max="9" width="16.28515625" customWidth="1"/>
    <col min="10" max="10" width="13.42578125" bestFit="1" customWidth="1"/>
  </cols>
  <sheetData>
    <row r="1" spans="1:11">
      <c r="A1" s="2" t="s">
        <v>0</v>
      </c>
      <c r="B1" s="2" t="s">
        <v>4</v>
      </c>
      <c r="C1" s="2" t="s">
        <v>5</v>
      </c>
      <c r="D1" s="2" t="s">
        <v>6</v>
      </c>
      <c r="E1" s="2" t="s">
        <v>2</v>
      </c>
      <c r="F1" s="2" t="s">
        <v>10</v>
      </c>
      <c r="G1" t="s">
        <v>8</v>
      </c>
      <c r="H1" s="2" t="s">
        <v>9</v>
      </c>
      <c r="I1" s="2" t="s">
        <v>1</v>
      </c>
      <c r="J1" s="2" t="s">
        <v>3</v>
      </c>
      <c r="K1" s="2" t="s">
        <v>7</v>
      </c>
    </row>
    <row r="2" spans="1:11">
      <c r="A2" s="1">
        <v>0</v>
      </c>
      <c r="B2" s="2">
        <v>2.0613851873073203</v>
      </c>
      <c r="C2" s="1">
        <v>16.409379485615464</v>
      </c>
      <c r="D2" s="2">
        <v>1.5652711058717624E-2</v>
      </c>
      <c r="E2" s="2">
        <v>7.8176922761058194E-4</v>
      </c>
      <c r="F2">
        <f>E2*0.12</f>
        <v>9.3812307313269832E-5</v>
      </c>
      <c r="G2">
        <v>1.6908723667814849</v>
      </c>
      <c r="H2">
        <f>G2*0.12</f>
        <v>0.20290468401377817</v>
      </c>
      <c r="I2" s="2">
        <v>9.6</v>
      </c>
      <c r="J2" s="2">
        <v>923</v>
      </c>
      <c r="K2" s="4">
        <v>3.7035064347341371</v>
      </c>
    </row>
    <row r="3" spans="1:11">
      <c r="A3" s="1">
        <v>0.5</v>
      </c>
      <c r="B3" s="2">
        <v>2.0613851873073203</v>
      </c>
      <c r="C3" s="1">
        <v>16.409379485615464</v>
      </c>
      <c r="D3" s="2">
        <v>1.5652711058717624E-2</v>
      </c>
      <c r="E3" s="2">
        <v>3.9423274934314868E-4</v>
      </c>
      <c r="F3">
        <f t="shared" ref="F3:H11" si="0">E3*0.12</f>
        <v>4.7307929921177842E-5</v>
      </c>
      <c r="G3">
        <v>0.85267779595524029</v>
      </c>
      <c r="H3">
        <f t="shared" si="0"/>
        <v>0.10232133551462883</v>
      </c>
      <c r="I3" s="2">
        <v>9.6</v>
      </c>
      <c r="J3" s="2">
        <v>923</v>
      </c>
      <c r="K3" s="4">
        <v>0.80541658057868382</v>
      </c>
    </row>
    <row r="4" spans="1:11">
      <c r="A4" s="1">
        <v>1</v>
      </c>
      <c r="B4" s="2">
        <v>2.0613851873073203</v>
      </c>
      <c r="C4" s="1">
        <v>16.409379485615464</v>
      </c>
      <c r="D4" s="2">
        <v>1.5652711058717624E-2</v>
      </c>
      <c r="E4" s="2">
        <v>2.6044251099651073E-4</v>
      </c>
      <c r="F4">
        <f t="shared" si="0"/>
        <v>3.1253101319581286E-5</v>
      </c>
      <c r="G4">
        <v>0.56330567823084532</v>
      </c>
      <c r="H4">
        <f t="shared" si="0"/>
        <v>6.7596681387701432E-2</v>
      </c>
      <c r="I4" s="2">
        <v>9.6</v>
      </c>
      <c r="J4" s="2">
        <v>923</v>
      </c>
      <c r="K4" s="4">
        <v>0.34242308117550369</v>
      </c>
    </row>
    <row r="5" spans="1:11">
      <c r="A5" s="1">
        <v>1.5</v>
      </c>
      <c r="B5" s="2">
        <v>2.0613851873073203</v>
      </c>
      <c r="C5" s="1">
        <v>16.409379485615464</v>
      </c>
      <c r="D5" s="2">
        <v>1.5652711058717624E-2</v>
      </c>
      <c r="E5" s="2">
        <v>1.9520500458793444E-4</v>
      </c>
      <c r="F5">
        <f t="shared" si="0"/>
        <v>2.3424600550552133E-5</v>
      </c>
      <c r="G5">
        <v>0.42220483546533949</v>
      </c>
      <c r="H5">
        <f t="shared" si="0"/>
        <v>5.0664580255840738E-2</v>
      </c>
      <c r="I5" s="2">
        <v>9.6</v>
      </c>
      <c r="J5" s="2">
        <v>923</v>
      </c>
      <c r="K5" s="4">
        <v>0.1884543265711123</v>
      </c>
    </row>
    <row r="6" spans="1:11">
      <c r="A6" s="1">
        <v>2</v>
      </c>
      <c r="B6" s="2">
        <v>2.0613851873073203</v>
      </c>
      <c r="C6" s="1">
        <v>16.409379485615464</v>
      </c>
      <c r="D6" s="2">
        <v>1.5652711058717624E-2</v>
      </c>
      <c r="E6" s="2">
        <v>1.6220192014423717E-4</v>
      </c>
      <c r="F6">
        <f t="shared" si="0"/>
        <v>1.9464230417308459E-5</v>
      </c>
      <c r="G6">
        <v>0.35082315205607523</v>
      </c>
      <c r="H6">
        <f t="shared" si="0"/>
        <v>4.2098778246729023E-2</v>
      </c>
      <c r="I6" s="2">
        <v>9.6</v>
      </c>
      <c r="J6" s="2">
        <v>923</v>
      </c>
      <c r="K6" s="4">
        <v>0.1190550121649273</v>
      </c>
    </row>
    <row r="7" spans="1:11">
      <c r="A7" s="1">
        <v>2.5</v>
      </c>
      <c r="B7" s="2">
        <v>2.0613851873073203</v>
      </c>
      <c r="C7" s="1">
        <v>16.409379485615464</v>
      </c>
      <c r="D7" s="2">
        <v>1.5652711058717624E-2</v>
      </c>
      <c r="E7" s="2">
        <v>1.2965381496046359E-4</v>
      </c>
      <c r="F7">
        <f t="shared" si="0"/>
        <v>1.5558457795255632E-5</v>
      </c>
      <c r="G7">
        <v>0.28042553380426799</v>
      </c>
      <c r="H7">
        <f t="shared" si="0"/>
        <v>3.3651064056512157E-2</v>
      </c>
      <c r="I7" s="2">
        <v>9.6</v>
      </c>
      <c r="J7" s="2">
        <v>923</v>
      </c>
      <c r="K7" s="4">
        <v>8.1968405775626085E-2</v>
      </c>
    </row>
    <row r="8" spans="1:11">
      <c r="A8" s="1">
        <v>3</v>
      </c>
      <c r="B8" s="2">
        <v>2.0613851873073203</v>
      </c>
      <c r="C8" s="1">
        <v>16.409379485615464</v>
      </c>
      <c r="D8" s="2">
        <v>1.5652711058717624E-2</v>
      </c>
      <c r="E8" s="2">
        <v>1.3484168156611349E-4</v>
      </c>
      <c r="F8">
        <f t="shared" si="0"/>
        <v>1.6181001787933618E-5</v>
      </c>
      <c r="G8">
        <v>0.29164626234695168</v>
      </c>
      <c r="H8">
        <f t="shared" si="0"/>
        <v>3.49975514816342E-2</v>
      </c>
      <c r="I8" s="2">
        <v>9.6</v>
      </c>
      <c r="J8" s="2">
        <v>923</v>
      </c>
      <c r="K8" s="4">
        <v>5.9853868530952668E-2</v>
      </c>
    </row>
    <row r="9" spans="1:11">
      <c r="A9" s="1">
        <v>3.5</v>
      </c>
      <c r="B9" s="2">
        <v>2.0613851873073203</v>
      </c>
      <c r="C9" s="1">
        <v>16.409379485615464</v>
      </c>
      <c r="D9" s="2">
        <v>1.5652711058717624E-2</v>
      </c>
      <c r="E9" s="2">
        <v>1.1683582571229479E-4</v>
      </c>
      <c r="F9">
        <f t="shared" si="0"/>
        <v>1.4020299085475375E-5</v>
      </c>
      <c r="G9">
        <v>0.25270177204445238</v>
      </c>
      <c r="H9">
        <f t="shared" si="0"/>
        <v>3.0324212645334286E-2</v>
      </c>
      <c r="I9" s="2">
        <v>9.6</v>
      </c>
      <c r="J9" s="2">
        <v>923</v>
      </c>
      <c r="K9" s="4">
        <v>4.561610015951157E-2</v>
      </c>
    </row>
    <row r="10" spans="1:11">
      <c r="A10" s="1">
        <v>6.5</v>
      </c>
      <c r="B10" s="2">
        <v>2.0613851873073203</v>
      </c>
      <c r="C10" s="1">
        <v>16.409379485615464</v>
      </c>
      <c r="D10" s="2">
        <v>1.5652711058717624E-2</v>
      </c>
      <c r="E10" s="2">
        <v>8.3814930911602111E-5</v>
      </c>
      <c r="F10">
        <f t="shared" si="0"/>
        <v>1.0057791709392252E-5</v>
      </c>
      <c r="G10">
        <v>0.18128156698529149</v>
      </c>
      <c r="H10">
        <f t="shared" si="0"/>
        <v>2.1753788038234977E-2</v>
      </c>
      <c r="I10" s="2">
        <v>9.6</v>
      </c>
      <c r="J10" s="2">
        <v>923</v>
      </c>
      <c r="K10" s="4">
        <v>1.469260278024186E-2</v>
      </c>
    </row>
    <row r="11" spans="1:11">
      <c r="A11" s="2">
        <v>10.75</v>
      </c>
      <c r="B11" s="2">
        <v>2.0613851873073203</v>
      </c>
      <c r="C11" s="1">
        <v>16.409379485615464</v>
      </c>
      <c r="D11" s="2">
        <v>1.5652711058717624E-2</v>
      </c>
      <c r="E11" s="2">
        <v>7.2127646091122832E-5</v>
      </c>
      <c r="F11">
        <f t="shared" si="0"/>
        <v>8.6553175309347388E-6</v>
      </c>
      <c r="G11">
        <v>0.1560033822631155</v>
      </c>
      <c r="H11">
        <f t="shared" si="0"/>
        <v>1.8720405871573861E-2</v>
      </c>
      <c r="I11" s="2">
        <v>9.6</v>
      </c>
      <c r="J11" s="2">
        <v>923</v>
      </c>
      <c r="K11" s="4">
        <v>5.6495184570068734E-3</v>
      </c>
    </row>
    <row r="17" spans="10:10">
      <c r="J17" s="3"/>
    </row>
    <row r="18" spans="10:10">
      <c r="J18" s="3"/>
    </row>
    <row r="19" spans="10:10">
      <c r="J19" s="3"/>
    </row>
    <row r="20" spans="10:10">
      <c r="J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SK1-052 9.6 kPa-650C</vt:lpstr>
      <vt:lpstr>TCM2-027 9.6 kPa-650C</vt:lpstr>
      <vt:lpstr>TCM2-071 9.6 kPa-650C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Lee Class Martínez</dc:creator>
  <cp:keywords/>
  <dc:description/>
  <cp:lastModifiedBy>Tania Class Martínez</cp:lastModifiedBy>
  <cp:revision/>
  <dcterms:created xsi:type="dcterms:W3CDTF">2024-06-10T15:35:43Z</dcterms:created>
  <dcterms:modified xsi:type="dcterms:W3CDTF">2026-03-19T16:17:27Z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2025-03-19T17:18:08Z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4bad8834-ac73-4946-84d6-c28caef11274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50, 3, 0, 1</vt:lpwstr>
  </property>
</Properties>
</file>